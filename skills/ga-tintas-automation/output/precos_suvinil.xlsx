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e Preços" sheetId="1" state="visible" r:id="rId1"/>
    <sheet name="Comparativo" sheetId="2" state="visible" r:id="rId2"/>
    <sheet name="Referência Distribuidor" sheetId="3" state="visible" r:id="rId3"/>
    <sheet name="Fontes" sheetId="4" state="visible" r:id="rId4"/>
  </sheets>
  <definedNames>
    <definedName name="_xlnm._FilterDatabase" localSheetId="0" hidden="1">'Catálogo de Preços'!$A$4:$J$36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i val="1"/>
      <color rgb="00FF0000"/>
      <sz val="9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F2DCDB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wrapText="1"/>
    </xf>
    <xf numFmtId="164" fontId="0" fillId="3" borderId="1" applyAlignment="1" pivotButton="0" quotePrefix="0" xfId="0">
      <alignment wrapText="1"/>
    </xf>
    <xf numFmtId="165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164" fontId="0" fillId="4" borderId="1" applyAlignment="1" pivotButton="0" quotePrefix="0" xfId="0">
      <alignment wrapText="1"/>
    </xf>
    <xf numFmtId="165" fontId="0" fillId="4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164" fontId="0" fillId="5" borderId="1" applyAlignment="1" pivotButton="0" quotePrefix="0" xfId="0">
      <alignment wrapText="1"/>
    </xf>
    <xf numFmtId="165" fontId="0" fillId="5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164" fontId="0" fillId="6" borderId="1" applyAlignment="1" pivotButton="0" quotePrefix="0" xfId="0">
      <alignment wrapText="1"/>
    </xf>
    <xf numFmtId="165" fontId="0" fillId="6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164" fontId="0" fillId="7" borderId="1" applyAlignment="1" pivotButton="0" quotePrefix="0" xfId="0">
      <alignment wrapText="1"/>
    </xf>
    <xf numFmtId="165" fontId="0" fillId="7" borderId="1" applyAlignment="1" pivotButton="0" quotePrefix="0" xfId="0">
      <alignment wrapText="1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0" fontId="0" fillId="7" borderId="1" pivotButton="0" quotePrefix="0" xfId="0"/>
    <xf numFmtId="164" fontId="0" fillId="7" borderId="1" pivotButton="0" quotePrefix="0" xfId="0"/>
    <xf numFmtId="165" fontId="0" fillId="7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de Preços SUVINIL (Menor vs Maior)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'Comparativo'!C3</f>
            </strRef>
          </tx>
          <spPr>
            <a:ln>
              <a:prstDash val="solid"/>
            </a:ln>
          </spPr>
          <cat>
            <numRef>
              <f>'Comparativo'!$A$4:$A$18</f>
            </numRef>
          </cat>
          <val>
            <numRef>
              <f>'Comparativo'!$C$4:$C$18</f>
            </numRef>
          </val>
        </ser>
        <ser>
          <idx val="1"/>
          <order val="1"/>
          <tx>
            <strRef>
              <f>'Comparativo'!D3</f>
            </strRef>
          </tx>
          <spPr>
            <a:ln>
              <a:prstDash val="solid"/>
            </a:ln>
          </spPr>
          <cat>
            <numRef>
              <f>'Comparativo'!$A$4:$A$18</f>
            </numRef>
          </cat>
          <val>
            <numRef>
              <f>'Comparativo'!$D$4:$D$18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Preço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  <col width="18" customWidth="1" min="4" max="4"/>
    <col width="8" customWidth="1" min="5" max="5"/>
    <col width="20" customWidth="1" min="6" max="6"/>
    <col width="35" customWidth="1" min="7" max="7"/>
    <col width="22" customWidth="1" min="8" max="8"/>
    <col width="16" customWidth="1" min="9" max="9"/>
    <col width="18" customWidth="1" min="10" max="10"/>
  </cols>
  <sheetData>
    <row r="1">
      <c r="A1" s="1" t="inlineStr">
        <is>
          <t>MONITORAMENTO DE PREÇOS — PRODUTOS SUVINIL</t>
        </is>
      </c>
    </row>
    <row r="2">
      <c r="A2" s="2" t="inlineStr">
        <is>
          <t>Pesquisa de mercado | Gerado em: 20/03/2026 19:26</t>
        </is>
      </c>
    </row>
    <row r="4">
      <c r="A4" s="3" t="inlineStr">
        <is>
          <t>Linha</t>
        </is>
      </c>
      <c r="B4" s="3" t="inlineStr">
        <is>
          <t>Produto</t>
        </is>
      </c>
      <c r="C4" s="3" t="inlineStr">
        <is>
          <t>Tipo</t>
        </is>
      </c>
      <c r="D4" s="3" t="inlineStr">
        <is>
          <t>Acabamento</t>
        </is>
      </c>
      <c r="E4" s="3" t="inlineStr">
        <is>
          <t>Volume</t>
        </is>
      </c>
      <c r="F4" s="3" t="inlineStr">
        <is>
          <t>Rendimento</t>
        </is>
      </c>
      <c r="G4" s="3" t="inlineStr">
        <is>
          <t>Aplicação</t>
        </is>
      </c>
      <c r="H4" s="3" t="inlineStr">
        <is>
          <t>Loja/Fonte</t>
        </is>
      </c>
      <c r="I4" s="3" t="inlineStr">
        <is>
          <t>Preço (R$)</t>
        </is>
      </c>
      <c r="J4" s="3" t="inlineStr">
        <is>
          <t>Preço Original (R$)</t>
        </is>
      </c>
    </row>
    <row r="5">
      <c r="A5" s="4" t="inlineStr">
        <is>
          <t>Standard</t>
        </is>
      </c>
      <c r="B5" s="4" t="inlineStr">
        <is>
          <t>Suvinil Rende &amp; Cobre Muito Fosco</t>
        </is>
      </c>
      <c r="C5" s="4" t="inlineStr">
        <is>
          <t>Tinta Acrílica Standard</t>
        </is>
      </c>
      <c r="D5" s="4" t="inlineStr">
        <is>
          <t>Fosco</t>
        </is>
      </c>
      <c r="E5" s="4" t="inlineStr">
        <is>
          <t>18L</t>
        </is>
      </c>
      <c r="F5" s="4" t="inlineStr">
        <is>
          <t>até 300 m²/demão</t>
        </is>
      </c>
      <c r="G5" s="4" t="inlineStr">
        <is>
          <t>Interno e Externo</t>
        </is>
      </c>
      <c r="H5" s="4" t="inlineStr">
        <is>
          <t>Mercado Livre</t>
        </is>
      </c>
      <c r="I5" s="5" t="n">
        <v>339.07</v>
      </c>
      <c r="J5" s="5" t="n">
        <v>423.84</v>
      </c>
    </row>
    <row r="6">
      <c r="A6" s="4" t="inlineStr">
        <is>
          <t>Standard</t>
        </is>
      </c>
      <c r="B6" s="4" t="inlineStr">
        <is>
          <t>Suvinil Rende &amp; Cobre Muito Fosco</t>
        </is>
      </c>
      <c r="C6" s="4" t="inlineStr">
        <is>
          <t>Tinta Acrílica Standard</t>
        </is>
      </c>
      <c r="D6" s="4" t="inlineStr">
        <is>
          <t>Fosco</t>
        </is>
      </c>
      <c r="E6" s="4" t="inlineStr">
        <is>
          <t>18L</t>
        </is>
      </c>
      <c r="F6" s="4" t="inlineStr">
        <is>
          <t>até 300 m²/demão</t>
        </is>
      </c>
      <c r="G6" s="4" t="inlineStr">
        <is>
          <t>Interno e Externo</t>
        </is>
      </c>
      <c r="H6" s="4" t="inlineStr">
        <is>
          <t>Varejão das Tintas</t>
        </is>
      </c>
      <c r="I6" s="5" t="n">
        <v>319</v>
      </c>
      <c r="J6" s="5" t="n">
        <v>354.44</v>
      </c>
    </row>
    <row r="7">
      <c r="A7" s="4" t="inlineStr">
        <is>
          <t>Standard</t>
        </is>
      </c>
      <c r="B7" s="4" t="inlineStr">
        <is>
          <t>Suvinil Rende &amp; Cobre Muito Fosco</t>
        </is>
      </c>
      <c r="C7" s="4" t="inlineStr">
        <is>
          <t>Tinta Acrílica Standard</t>
        </is>
      </c>
      <c r="D7" s="4" t="inlineStr">
        <is>
          <t>Fosco</t>
        </is>
      </c>
      <c r="E7" s="4" t="inlineStr">
        <is>
          <t>18L</t>
        </is>
      </c>
      <c r="F7" s="4" t="inlineStr">
        <is>
          <t>até 300 m²/demão</t>
        </is>
      </c>
      <c r="G7" s="4" t="inlineStr">
        <is>
          <t>Interno e Externo</t>
        </is>
      </c>
      <c r="H7" s="4" t="inlineStr">
        <is>
          <t>São Geraldo Tintas</t>
        </is>
      </c>
      <c r="I7" s="5" t="n">
        <v>284.9</v>
      </c>
      <c r="J7" s="4" t="n"/>
    </row>
    <row r="8">
      <c r="A8" s="4" t="inlineStr">
        <is>
          <t>Standard</t>
        </is>
      </c>
      <c r="B8" s="4" t="inlineStr">
        <is>
          <t>Suvinil Rende &amp; Cobre Muito Fosco</t>
        </is>
      </c>
      <c r="C8" s="4" t="inlineStr">
        <is>
          <t>Tinta Acrílica Standard</t>
        </is>
      </c>
      <c r="D8" s="4" t="inlineStr">
        <is>
          <t>Fosco</t>
        </is>
      </c>
      <c r="E8" s="4" t="inlineStr">
        <is>
          <t>18L</t>
        </is>
      </c>
      <c r="F8" s="4" t="inlineStr">
        <is>
          <t>até 300 m²/demão</t>
        </is>
      </c>
      <c r="G8" s="4" t="inlineStr">
        <is>
          <t>Interno e Externo</t>
        </is>
      </c>
      <c r="H8" s="4" t="inlineStr">
        <is>
          <t>Mercado Livre (2)</t>
        </is>
      </c>
      <c r="I8" s="5" t="n">
        <v>207.28</v>
      </c>
      <c r="J8" s="5" t="n">
        <v>323.89</v>
      </c>
    </row>
    <row r="9">
      <c r="A9" s="4" t="inlineStr">
        <is>
          <t>Standard</t>
        </is>
      </c>
      <c r="B9" s="4" t="inlineStr">
        <is>
          <t>Suvinil Rende &amp; Cobre Muito Fosco</t>
        </is>
      </c>
      <c r="C9" s="4" t="inlineStr">
        <is>
          <t>Tinta Acrílica Standard</t>
        </is>
      </c>
      <c r="D9" s="4" t="inlineStr">
        <is>
          <t>Fosco</t>
        </is>
      </c>
      <c r="E9" s="4" t="inlineStr">
        <is>
          <t>18L</t>
        </is>
      </c>
      <c r="F9" s="4" t="inlineStr">
        <is>
          <t>até 300 m²/demão</t>
        </is>
      </c>
      <c r="G9" s="4" t="inlineStr">
        <is>
          <t>Interno e Externo</t>
        </is>
      </c>
      <c r="H9" s="4" t="inlineStr">
        <is>
          <t>Obramax</t>
        </is>
      </c>
      <c r="I9" s="5" t="n">
        <v>299.9</v>
      </c>
      <c r="J9" s="4" t="n"/>
    </row>
    <row r="10">
      <c r="A10" s="4" t="inlineStr">
        <is>
          <t>Standard</t>
        </is>
      </c>
      <c r="B10" s="4" t="inlineStr">
        <is>
          <t>Suvinil Rende &amp; Cobre Muito Fosco</t>
        </is>
      </c>
      <c r="C10" s="4" t="inlineStr">
        <is>
          <t>Tinta Acrílica Standard</t>
        </is>
      </c>
      <c r="D10" s="4" t="inlineStr">
        <is>
          <t>Fosco</t>
        </is>
      </c>
      <c r="E10" s="4" t="inlineStr">
        <is>
          <t>3.6L</t>
        </is>
      </c>
      <c r="F10" s="4" t="inlineStr">
        <is>
          <t>até 60 m²/demão</t>
        </is>
      </c>
      <c r="G10" s="4" t="inlineStr">
        <is>
          <t>Interno e Externo</t>
        </is>
      </c>
      <c r="H10" s="4" t="inlineStr">
        <is>
          <t>Casa Costa Tintas</t>
        </is>
      </c>
      <c r="I10" s="5" t="n">
        <v>89.90000000000001</v>
      </c>
      <c r="J10" s="4" t="n"/>
    </row>
    <row r="11">
      <c r="A11" s="4" t="inlineStr">
        <is>
          <t>Standard</t>
        </is>
      </c>
      <c r="B11" s="4" t="inlineStr">
        <is>
          <t>Suvinil Rende &amp; Cobre Muito Fosco</t>
        </is>
      </c>
      <c r="C11" s="4" t="inlineStr">
        <is>
          <t>Tinta Acrílica Standard</t>
        </is>
      </c>
      <c r="D11" s="4" t="inlineStr">
        <is>
          <t>Fosco</t>
        </is>
      </c>
      <c r="E11" s="4" t="inlineStr">
        <is>
          <t>3.6L</t>
        </is>
      </c>
      <c r="F11" s="4" t="inlineStr">
        <is>
          <t>até 60 m²/demão</t>
        </is>
      </c>
      <c r="G11" s="4" t="inlineStr">
        <is>
          <t>Interno e Externo</t>
        </is>
      </c>
      <c r="H11" s="4" t="inlineStr">
        <is>
          <t>Telhanorte</t>
        </is>
      </c>
      <c r="I11" s="5" t="n">
        <v>95</v>
      </c>
      <c r="J11" s="4" t="n"/>
    </row>
    <row r="12">
      <c r="A12" s="4" t="inlineStr">
        <is>
          <t>Standard</t>
        </is>
      </c>
      <c r="B12" s="4" t="inlineStr">
        <is>
          <t>Suvinil Rende &amp; Cobre Muito Fosco</t>
        </is>
      </c>
      <c r="C12" s="4" t="inlineStr">
        <is>
          <t>Tinta Acrílica Standard</t>
        </is>
      </c>
      <c r="D12" s="4" t="inlineStr">
        <is>
          <t>Fosco</t>
        </is>
      </c>
      <c r="E12" s="4" t="inlineStr">
        <is>
          <t>3.6L</t>
        </is>
      </c>
      <c r="F12" s="4" t="inlineStr">
        <is>
          <t>até 60 m²/demão</t>
        </is>
      </c>
      <c r="G12" s="4" t="inlineStr">
        <is>
          <t>Interno e Externo</t>
        </is>
      </c>
      <c r="H12" s="4" t="inlineStr">
        <is>
          <t>Obramax</t>
        </is>
      </c>
      <c r="I12" s="5" t="n">
        <v>79.90000000000001</v>
      </c>
      <c r="J12" s="4" t="n"/>
    </row>
    <row r="13">
      <c r="A13" s="6" t="inlineStr">
        <is>
          <t>Premium</t>
        </is>
      </c>
      <c r="B13" s="6" t="inlineStr">
        <is>
          <t>Suvinil Fosco Completo</t>
        </is>
      </c>
      <c r="C13" s="6" t="inlineStr">
        <is>
          <t>Tinta Acrílica Premium</t>
        </is>
      </c>
      <c r="D13" s="6" t="inlineStr">
        <is>
          <t>Fosco</t>
        </is>
      </c>
      <c r="E13" s="6" t="inlineStr">
        <is>
          <t>18L</t>
        </is>
      </c>
      <c r="F13" s="6" t="inlineStr">
        <is>
          <t>até 380 m²/demão</t>
        </is>
      </c>
      <c r="G13" s="6" t="inlineStr">
        <is>
          <t>Interno e Externo</t>
        </is>
      </c>
      <c r="H13" s="6" t="inlineStr">
        <is>
          <t>Mercado Livre</t>
        </is>
      </c>
      <c r="I13" s="7" t="n">
        <v>358.8</v>
      </c>
      <c r="J13" s="7" t="n">
        <v>478.4</v>
      </c>
    </row>
    <row r="14">
      <c r="A14" s="6" t="inlineStr">
        <is>
          <t>Premium</t>
        </is>
      </c>
      <c r="B14" s="6" t="inlineStr">
        <is>
          <t>Suvinil Fosco Completo</t>
        </is>
      </c>
      <c r="C14" s="6" t="inlineStr">
        <is>
          <t>Tinta Acrílica Premium</t>
        </is>
      </c>
      <c r="D14" s="6" t="inlineStr">
        <is>
          <t>Fosco</t>
        </is>
      </c>
      <c r="E14" s="6" t="inlineStr">
        <is>
          <t>18L</t>
        </is>
      </c>
      <c r="F14" s="6" t="inlineStr">
        <is>
          <t>até 380 m²/demão</t>
        </is>
      </c>
      <c r="G14" s="6" t="inlineStr">
        <is>
          <t>Interno e Externo</t>
        </is>
      </c>
      <c r="H14" s="6" t="inlineStr">
        <is>
          <t>Telhanorte</t>
        </is>
      </c>
      <c r="I14" s="7" t="n">
        <v>419.9</v>
      </c>
      <c r="J14" s="6" t="n"/>
    </row>
    <row r="15">
      <c r="A15" s="6" t="inlineStr">
        <is>
          <t>Premium</t>
        </is>
      </c>
      <c r="B15" s="6" t="inlineStr">
        <is>
          <t>Suvinil Fosco Completo</t>
        </is>
      </c>
      <c r="C15" s="6" t="inlineStr">
        <is>
          <t>Tinta Acrílica Premium</t>
        </is>
      </c>
      <c r="D15" s="6" t="inlineStr">
        <is>
          <t>Fosco</t>
        </is>
      </c>
      <c r="E15" s="6" t="inlineStr">
        <is>
          <t>18L</t>
        </is>
      </c>
      <c r="F15" s="6" t="inlineStr">
        <is>
          <t>até 380 m²/demão</t>
        </is>
      </c>
      <c r="G15" s="6" t="inlineStr">
        <is>
          <t>Interno e Externo</t>
        </is>
      </c>
      <c r="H15" s="6" t="inlineStr">
        <is>
          <t>Arena Tintas</t>
        </is>
      </c>
      <c r="I15" s="7" t="n">
        <v>399</v>
      </c>
      <c r="J15" s="6" t="n"/>
    </row>
    <row r="16">
      <c r="A16" s="6" t="inlineStr">
        <is>
          <t>Premium</t>
        </is>
      </c>
      <c r="B16" s="6" t="inlineStr">
        <is>
          <t>Suvinil Fosco Completo</t>
        </is>
      </c>
      <c r="C16" s="6" t="inlineStr">
        <is>
          <t>Tinta Acrílica Premium</t>
        </is>
      </c>
      <c r="D16" s="6" t="inlineStr">
        <is>
          <t>Fosco</t>
        </is>
      </c>
      <c r="E16" s="6" t="inlineStr">
        <is>
          <t>18L</t>
        </is>
      </c>
      <c r="F16" s="6" t="inlineStr">
        <is>
          <t>até 380 m²/demão</t>
        </is>
      </c>
      <c r="G16" s="6" t="inlineStr">
        <is>
          <t>Interno e Externo</t>
        </is>
      </c>
      <c r="H16" s="6" t="inlineStr">
        <is>
          <t>Obramax</t>
        </is>
      </c>
      <c r="I16" s="7" t="n">
        <v>389.9</v>
      </c>
      <c r="J16" s="6" t="n"/>
    </row>
    <row r="17">
      <c r="A17" s="6" t="inlineStr">
        <is>
          <t>Premium</t>
        </is>
      </c>
      <c r="B17" s="6" t="inlineStr">
        <is>
          <t>Suvinil Fosco Completo</t>
        </is>
      </c>
      <c r="C17" s="6" t="inlineStr">
        <is>
          <t>Tinta Acrílica Premium</t>
        </is>
      </c>
      <c r="D17" s="6" t="inlineStr">
        <is>
          <t>Fosco</t>
        </is>
      </c>
      <c r="E17" s="6" t="inlineStr">
        <is>
          <t>3.6L</t>
        </is>
      </c>
      <c r="F17" s="6" t="inlineStr">
        <is>
          <t>até 76 m²/demão</t>
        </is>
      </c>
      <c r="G17" s="6" t="inlineStr">
        <is>
          <t>Interno e Externo</t>
        </is>
      </c>
      <c r="H17" s="6" t="inlineStr">
        <is>
          <t>Telhanorte</t>
        </is>
      </c>
      <c r="I17" s="7" t="n">
        <v>109.9</v>
      </c>
      <c r="J17" s="6" t="n"/>
    </row>
    <row r="18">
      <c r="A18" s="6" t="inlineStr">
        <is>
          <t>Premium</t>
        </is>
      </c>
      <c r="B18" s="6" t="inlineStr">
        <is>
          <t>Suvinil Fosco Completo</t>
        </is>
      </c>
      <c r="C18" s="6" t="inlineStr">
        <is>
          <t>Tinta Acrílica Premium</t>
        </is>
      </c>
      <c r="D18" s="6" t="inlineStr">
        <is>
          <t>Fosco</t>
        </is>
      </c>
      <c r="E18" s="6" t="inlineStr">
        <is>
          <t>3.6L</t>
        </is>
      </c>
      <c r="F18" s="6" t="inlineStr">
        <is>
          <t>até 76 m²/demão</t>
        </is>
      </c>
      <c r="G18" s="6" t="inlineStr">
        <is>
          <t>Interno e Externo</t>
        </is>
      </c>
      <c r="H18" s="6" t="inlineStr">
        <is>
          <t>Bela Tintas</t>
        </is>
      </c>
      <c r="I18" s="7" t="n">
        <v>115</v>
      </c>
      <c r="J18" s="6" t="n"/>
    </row>
    <row r="19">
      <c r="A19" s="8" t="inlineStr">
        <is>
          <t>Select</t>
        </is>
      </c>
      <c r="B19" s="8" t="inlineStr">
        <is>
          <t>Suvinil Toque Fosco Select</t>
        </is>
      </c>
      <c r="C19" s="8" t="inlineStr">
        <is>
          <t>Tinta Acrílica Alto Padrão</t>
        </is>
      </c>
      <c r="D19" s="8" t="inlineStr">
        <is>
          <t>Fosco Aveludado</t>
        </is>
      </c>
      <c r="E19" s="8" t="inlineStr">
        <is>
          <t>18L</t>
        </is>
      </c>
      <c r="F19" s="8" t="inlineStr">
        <is>
          <t>até 350 m²/demão</t>
        </is>
      </c>
      <c r="G19" s="8" t="inlineStr">
        <is>
          <t>Interno</t>
        </is>
      </c>
      <c r="H19" s="8" t="inlineStr">
        <is>
          <t>Mercado Livre</t>
        </is>
      </c>
      <c r="I19" s="9" t="n">
        <v>759.73</v>
      </c>
      <c r="J19" s="9" t="n">
        <v>799.72</v>
      </c>
    </row>
    <row r="20">
      <c r="A20" s="8" t="inlineStr">
        <is>
          <t>Select</t>
        </is>
      </c>
      <c r="B20" s="8" t="inlineStr">
        <is>
          <t>Suvinil Toque Fosco Select</t>
        </is>
      </c>
      <c r="C20" s="8" t="inlineStr">
        <is>
          <t>Tinta Acrílica Alto Padrão</t>
        </is>
      </c>
      <c r="D20" s="8" t="inlineStr">
        <is>
          <t>Fosco Aveludado</t>
        </is>
      </c>
      <c r="E20" s="8" t="inlineStr">
        <is>
          <t>18L</t>
        </is>
      </c>
      <c r="F20" s="8" t="inlineStr">
        <is>
          <t>até 350 m²/demão</t>
        </is>
      </c>
      <c r="G20" s="8" t="inlineStr">
        <is>
          <t>Interno</t>
        </is>
      </c>
      <c r="H20" s="8" t="inlineStr">
        <is>
          <t>Mercado Livre (2)</t>
        </is>
      </c>
      <c r="I20" s="9" t="n">
        <v>414.76</v>
      </c>
      <c r="J20" s="9" t="n">
        <v>524.9400000000001</v>
      </c>
    </row>
    <row r="21">
      <c r="A21" s="8" t="inlineStr">
        <is>
          <t>Select</t>
        </is>
      </c>
      <c r="B21" s="8" t="inlineStr">
        <is>
          <t>Suvinil Toque Fosco Select</t>
        </is>
      </c>
      <c r="C21" s="8" t="inlineStr">
        <is>
          <t>Tinta Acrílica Alto Padrão</t>
        </is>
      </c>
      <c r="D21" s="8" t="inlineStr">
        <is>
          <t>Fosco Aveludado</t>
        </is>
      </c>
      <c r="E21" s="8" t="inlineStr">
        <is>
          <t>18L</t>
        </is>
      </c>
      <c r="F21" s="8" t="inlineStr">
        <is>
          <t>até 350 m²/demão</t>
        </is>
      </c>
      <c r="G21" s="8" t="inlineStr">
        <is>
          <t>Interno</t>
        </is>
      </c>
      <c r="H21" s="8" t="inlineStr">
        <is>
          <t>Arena Tintas</t>
        </is>
      </c>
      <c r="I21" s="9" t="n">
        <v>689</v>
      </c>
      <c r="J21" s="8" t="n"/>
    </row>
    <row r="22">
      <c r="A22" s="10" t="inlineStr">
        <is>
          <t>Esmaltes</t>
        </is>
      </c>
      <c r="B22" s="10" t="inlineStr">
        <is>
          <t>Suvinil Esmalte Cor &amp; Proteção Base Água Acetinado</t>
        </is>
      </c>
      <c r="C22" s="10" t="inlineStr">
        <is>
          <t>Esmalte Base Água</t>
        </is>
      </c>
      <c r="D22" s="10" t="inlineStr">
        <is>
          <t>Acetinado</t>
        </is>
      </c>
      <c r="E22" s="10" t="inlineStr">
        <is>
          <t>3.6L</t>
        </is>
      </c>
      <c r="F22" s="10" t="inlineStr">
        <is>
          <t>até 60 m²/demão</t>
        </is>
      </c>
      <c r="G22" s="10" t="inlineStr">
        <is>
          <t>Interno e Externo (metal e madeira)</t>
        </is>
      </c>
      <c r="H22" s="10" t="inlineStr">
        <is>
          <t>Arena Tintas</t>
        </is>
      </c>
      <c r="I22" s="11" t="n">
        <v>265.16</v>
      </c>
      <c r="J22" s="11" t="n">
        <v>294.62</v>
      </c>
    </row>
    <row r="23">
      <c r="A23" s="10" t="inlineStr">
        <is>
          <t>Esmaltes</t>
        </is>
      </c>
      <c r="B23" s="10" t="inlineStr">
        <is>
          <t>Suvinil Esmalte Cor &amp; Proteção Base Água Acetinado</t>
        </is>
      </c>
      <c r="C23" s="10" t="inlineStr">
        <is>
          <t>Esmalte Base Água</t>
        </is>
      </c>
      <c r="D23" s="10" t="inlineStr">
        <is>
          <t>Acetinado</t>
        </is>
      </c>
      <c r="E23" s="10" t="inlineStr">
        <is>
          <t>3.6L</t>
        </is>
      </c>
      <c r="F23" s="10" t="inlineStr">
        <is>
          <t>até 60 m²/demão</t>
        </is>
      </c>
      <c r="G23" s="10" t="inlineStr">
        <is>
          <t>Interno e Externo (metal e madeira)</t>
        </is>
      </c>
      <c r="H23" s="10" t="inlineStr">
        <is>
          <t>Leroy Merlin</t>
        </is>
      </c>
      <c r="I23" s="11" t="n">
        <v>289.9</v>
      </c>
      <c r="J23" s="10" t="n"/>
    </row>
    <row r="24">
      <c r="A24" s="10" t="inlineStr">
        <is>
          <t>Esmaltes</t>
        </is>
      </c>
      <c r="B24" s="10" t="inlineStr">
        <is>
          <t>Suvinil Esmalte Cor &amp; Proteção Grafite Fosco</t>
        </is>
      </c>
      <c r="C24" s="10" t="inlineStr">
        <is>
          <t>Esmalte Anticorrosivo</t>
        </is>
      </c>
      <c r="D24" s="10" t="inlineStr">
        <is>
          <t>Grafite Fosco</t>
        </is>
      </c>
      <c r="E24" s="10" t="inlineStr">
        <is>
          <t>3.6L</t>
        </is>
      </c>
      <c r="F24" s="10" t="inlineStr">
        <is>
          <t>até 50 m²/demão</t>
        </is>
      </c>
      <c r="G24" s="10" t="inlineStr">
        <is>
          <t>Metal (aplica direto na ferrugem)</t>
        </is>
      </c>
      <c r="H24" s="10" t="inlineStr">
        <is>
          <t>Arena Tintas</t>
        </is>
      </c>
      <c r="I24" s="11" t="n">
        <v>308.09</v>
      </c>
      <c r="J24" s="10" t="n"/>
    </row>
    <row r="25">
      <c r="A25" s="10" t="inlineStr">
        <is>
          <t>Especiais</t>
        </is>
      </c>
      <c r="B25" s="10" t="inlineStr">
        <is>
          <t>Suvinil Epóxi</t>
        </is>
      </c>
      <c r="C25" s="10" t="inlineStr">
        <is>
          <t>Tinta Epóxi</t>
        </is>
      </c>
      <c r="D25" s="10" t="inlineStr">
        <is>
          <t>Brilhante</t>
        </is>
      </c>
      <c r="E25" s="10" t="inlineStr">
        <is>
          <t>3.6L</t>
        </is>
      </c>
      <c r="F25" s="10" t="inlineStr">
        <is>
          <t>até 45 m²/demão</t>
        </is>
      </c>
      <c r="G25" s="10" t="inlineStr">
        <is>
          <t>Garagens, áreas industriais, cozinhas</t>
        </is>
      </c>
      <c r="H25" s="10" t="inlineStr">
        <is>
          <t>Arena Tintas</t>
        </is>
      </c>
      <c r="I25" s="11" t="n">
        <v>327.97</v>
      </c>
      <c r="J25" s="10" t="n"/>
    </row>
    <row r="26">
      <c r="A26" s="10" t="inlineStr">
        <is>
          <t>Especiais</t>
        </is>
      </c>
      <c r="B26" s="10" t="inlineStr">
        <is>
          <t>Suvinil Epóxi</t>
        </is>
      </c>
      <c r="C26" s="10" t="inlineStr">
        <is>
          <t>Tinta Epóxi</t>
        </is>
      </c>
      <c r="D26" s="10" t="inlineStr">
        <is>
          <t>Brilhante</t>
        </is>
      </c>
      <c r="E26" s="10" t="inlineStr">
        <is>
          <t>3.6L</t>
        </is>
      </c>
      <c r="F26" s="10" t="inlineStr">
        <is>
          <t>até 45 m²/demão</t>
        </is>
      </c>
      <c r="G26" s="10" t="inlineStr">
        <is>
          <t>Garagens, áreas industriais, cozinhas</t>
        </is>
      </c>
      <c r="H26" s="10" t="inlineStr">
        <is>
          <t>Leroy Merlin</t>
        </is>
      </c>
      <c r="I26" s="11" t="n">
        <v>349.9</v>
      </c>
      <c r="J26" s="10" t="n"/>
    </row>
    <row r="27">
      <c r="A27" s="12" t="inlineStr">
        <is>
          <t>Econômica</t>
        </is>
      </c>
      <c r="B27" s="12" t="inlineStr">
        <is>
          <t>Suvinil Látex Maxx</t>
        </is>
      </c>
      <c r="C27" s="12" t="inlineStr">
        <is>
          <t>Tinta Látex Econômica</t>
        </is>
      </c>
      <c r="D27" s="12" t="inlineStr">
        <is>
          <t>Fosco</t>
        </is>
      </c>
      <c r="E27" s="12" t="inlineStr">
        <is>
          <t>18L</t>
        </is>
      </c>
      <c r="F27" s="12" t="inlineStr">
        <is>
          <t>até 280 m²/demão</t>
        </is>
      </c>
      <c r="G27" s="12" t="inlineStr">
        <is>
          <t>Interno</t>
        </is>
      </c>
      <c r="H27" s="12" t="inlineStr">
        <is>
          <t>Bela Tintas</t>
        </is>
      </c>
      <c r="I27" s="13" t="n">
        <v>189.9</v>
      </c>
      <c r="J27" s="12" t="n"/>
    </row>
    <row r="28">
      <c r="A28" s="12" t="inlineStr">
        <is>
          <t>Econômica</t>
        </is>
      </c>
      <c r="B28" s="12" t="inlineStr">
        <is>
          <t>Suvinil Látex Maxx</t>
        </is>
      </c>
      <c r="C28" s="12" t="inlineStr">
        <is>
          <t>Tinta Látex Econômica</t>
        </is>
      </c>
      <c r="D28" s="12" t="inlineStr">
        <is>
          <t>Fosco</t>
        </is>
      </c>
      <c r="E28" s="12" t="inlineStr">
        <is>
          <t>18L</t>
        </is>
      </c>
      <c r="F28" s="12" t="inlineStr">
        <is>
          <t>até 280 m²/demão</t>
        </is>
      </c>
      <c r="G28" s="12" t="inlineStr">
        <is>
          <t>Interno</t>
        </is>
      </c>
      <c r="H28" s="12" t="inlineStr">
        <is>
          <t>Mercado Livre</t>
        </is>
      </c>
      <c r="I28" s="13" t="n">
        <v>169.9</v>
      </c>
      <c r="J28" s="12" t="n"/>
    </row>
    <row r="29">
      <c r="A29" s="12" t="inlineStr">
        <is>
          <t>Econômica</t>
        </is>
      </c>
      <c r="B29" s="12" t="inlineStr">
        <is>
          <t>Suvinil Látex Maxx</t>
        </is>
      </c>
      <c r="C29" s="12" t="inlineStr">
        <is>
          <t>Tinta Látex Econômica</t>
        </is>
      </c>
      <c r="D29" s="12" t="inlineStr">
        <is>
          <t>Fosco</t>
        </is>
      </c>
      <c r="E29" s="12" t="inlineStr">
        <is>
          <t>3.6L</t>
        </is>
      </c>
      <c r="F29" s="12" t="inlineStr">
        <is>
          <t>até 56 m²/demão</t>
        </is>
      </c>
      <c r="G29" s="12" t="inlineStr">
        <is>
          <t>Interno</t>
        </is>
      </c>
      <c r="H29" s="12" t="inlineStr">
        <is>
          <t>Bela Tintas</t>
        </is>
      </c>
      <c r="I29" s="13" t="n">
        <v>49.9</v>
      </c>
      <c r="J29" s="12" t="n"/>
    </row>
    <row r="30">
      <c r="A30" s="4" t="inlineStr">
        <is>
          <t>Pisos</t>
        </is>
      </c>
      <c r="B30" s="4" t="inlineStr">
        <is>
          <t>Suvinil Piso Acrílica</t>
        </is>
      </c>
      <c r="C30" s="4" t="inlineStr">
        <is>
          <t>Tinta Acrílica para Pisos</t>
        </is>
      </c>
      <c r="D30" s="4" t="inlineStr">
        <is>
          <t>Fosco</t>
        </is>
      </c>
      <c r="E30" s="4" t="inlineStr">
        <is>
          <t>18L</t>
        </is>
      </c>
      <c r="F30" s="4" t="inlineStr">
        <is>
          <t>até 250 m²/demão</t>
        </is>
      </c>
      <c r="G30" s="4" t="inlineStr">
        <is>
          <t>Pisos de concreto, cimento, cerâmicos</t>
        </is>
      </c>
      <c r="H30" s="4" t="inlineStr">
        <is>
          <t>Leroy Merlin</t>
        </is>
      </c>
      <c r="I30" s="5" t="n">
        <v>339.9</v>
      </c>
      <c r="J30" s="4" t="n"/>
    </row>
    <row r="31">
      <c r="A31" s="4" t="inlineStr">
        <is>
          <t>Pisos</t>
        </is>
      </c>
      <c r="B31" s="4" t="inlineStr">
        <is>
          <t>Suvinil Piso Acrílica</t>
        </is>
      </c>
      <c r="C31" s="4" t="inlineStr">
        <is>
          <t>Tinta Acrílica para Pisos</t>
        </is>
      </c>
      <c r="D31" s="4" t="inlineStr">
        <is>
          <t>Fosco</t>
        </is>
      </c>
      <c r="E31" s="4" t="inlineStr">
        <is>
          <t>18L</t>
        </is>
      </c>
      <c r="F31" s="4" t="inlineStr">
        <is>
          <t>até 250 m²/demão</t>
        </is>
      </c>
      <c r="G31" s="4" t="inlineStr">
        <is>
          <t>Pisos de concreto, cimento, cerâmicos</t>
        </is>
      </c>
      <c r="H31" s="4" t="inlineStr">
        <is>
          <t>Obramax</t>
        </is>
      </c>
      <c r="I31" s="5" t="n">
        <v>329.9</v>
      </c>
      <c r="J31" s="4" t="n"/>
    </row>
    <row r="32">
      <c r="A32" s="4" t="inlineStr">
        <is>
          <t>Standard</t>
        </is>
      </c>
      <c r="B32" s="4" t="inlineStr">
        <is>
          <t>Suvinil Rende &amp; Cobre Muito Fosco (Obramax 20L)</t>
        </is>
      </c>
      <c r="C32" s="4" t="inlineStr">
        <is>
          <t>Tinta Acrílica Standard</t>
        </is>
      </c>
      <c r="D32" s="4" t="inlineStr">
        <is>
          <t>Fosco</t>
        </is>
      </c>
      <c r="E32" s="4" t="inlineStr">
        <is>
          <t>20L</t>
        </is>
      </c>
      <c r="F32" s="4" t="inlineStr">
        <is>
          <t>até 189 m² acabado</t>
        </is>
      </c>
      <c r="G32" s="4" t="inlineStr">
        <is>
          <t>Interno e Externo</t>
        </is>
      </c>
      <c r="H32" s="4" t="inlineStr">
        <is>
          <t>Obramax</t>
        </is>
      </c>
      <c r="I32" s="5" t="n">
        <v>329.9</v>
      </c>
      <c r="J32" s="4" t="n"/>
    </row>
    <row r="33">
      <c r="A33" s="6" t="inlineStr">
        <is>
          <t>Premium</t>
        </is>
      </c>
      <c r="B33" s="6" t="inlineStr">
        <is>
          <t>Suvinil Toque Fosco Completo (Obramax 20L)</t>
        </is>
      </c>
      <c r="C33" s="6" t="inlineStr">
        <is>
          <t>Tinta Acrílica Premium</t>
        </is>
      </c>
      <c r="D33" s="6" t="inlineStr">
        <is>
          <t>Fosco</t>
        </is>
      </c>
      <c r="E33" s="6" t="inlineStr">
        <is>
          <t>20L</t>
        </is>
      </c>
      <c r="F33" s="6" t="inlineStr">
        <is>
          <t>até 167 m² acabado</t>
        </is>
      </c>
      <c r="G33" s="6" t="inlineStr">
        <is>
          <t>Interno e Externo</t>
        </is>
      </c>
      <c r="H33" s="6" t="inlineStr">
        <is>
          <t>Obramax</t>
        </is>
      </c>
      <c r="I33" s="7" t="n">
        <v>449.9</v>
      </c>
      <c r="J33" s="6" t="n"/>
    </row>
    <row r="34">
      <c r="A34" s="12" t="inlineStr">
        <is>
          <t>Econômica</t>
        </is>
      </c>
      <c r="B34" s="12" t="inlineStr">
        <is>
          <t>Suvinil Glasu Econômica (Obramax 20L)</t>
        </is>
      </c>
      <c r="C34" s="12" t="inlineStr">
        <is>
          <t>Tinta Acrílica Econômica</t>
        </is>
      </c>
      <c r="D34" s="12" t="inlineStr">
        <is>
          <t>Fosco</t>
        </is>
      </c>
      <c r="E34" s="12" t="inlineStr">
        <is>
          <t>20L</t>
        </is>
      </c>
      <c r="F34" s="12" t="inlineStr">
        <is>
          <t>até 200 m²/demão</t>
        </is>
      </c>
      <c r="G34" s="12" t="inlineStr">
        <is>
          <t>Interno</t>
        </is>
      </c>
      <c r="H34" s="12" t="inlineStr">
        <is>
          <t>Obramax</t>
        </is>
      </c>
      <c r="I34" s="13" t="n">
        <v>199.9</v>
      </c>
      <c r="J34" s="12" t="n"/>
    </row>
    <row r="35">
      <c r="A35" s="6" t="inlineStr">
        <is>
          <t>Premium</t>
        </is>
      </c>
      <c r="B35" s="6" t="inlineStr">
        <is>
          <t>Suvinil Inova Fosco Sempre Limpo</t>
        </is>
      </c>
      <c r="C35" s="6" t="inlineStr">
        <is>
          <t>Tinta Acrílica Premium Anti-Mancha</t>
        </is>
      </c>
      <c r="D35" s="6" t="inlineStr">
        <is>
          <t>Fosco</t>
        </is>
      </c>
      <c r="E35" s="6" t="inlineStr">
        <is>
          <t>18L</t>
        </is>
      </c>
      <c r="F35" s="6" t="inlineStr">
        <is>
          <t>até 350 m²/demão</t>
        </is>
      </c>
      <c r="G35" s="6" t="inlineStr">
        <is>
          <t>Interno e Externo (lavável)</t>
        </is>
      </c>
      <c r="H35" s="6" t="inlineStr">
        <is>
          <t>Arena Tintas</t>
        </is>
      </c>
      <c r="I35" s="7" t="n">
        <v>499</v>
      </c>
      <c r="J35" s="6" t="n"/>
    </row>
    <row r="36">
      <c r="A36" s="6" t="inlineStr">
        <is>
          <t>Premium</t>
        </is>
      </c>
      <c r="B36" s="6" t="inlineStr">
        <is>
          <t>Suvinil Inova Fosco Sempre Limpo</t>
        </is>
      </c>
      <c r="C36" s="6" t="inlineStr">
        <is>
          <t>Tinta Acrílica Premium Anti-Mancha</t>
        </is>
      </c>
      <c r="D36" s="6" t="inlineStr">
        <is>
          <t>Fosco</t>
        </is>
      </c>
      <c r="E36" s="6" t="inlineStr">
        <is>
          <t>18L</t>
        </is>
      </c>
      <c r="F36" s="6" t="inlineStr">
        <is>
          <t>até 350 m²/demão</t>
        </is>
      </c>
      <c r="G36" s="6" t="inlineStr">
        <is>
          <t>Interno e Externo (lavável)</t>
        </is>
      </c>
      <c r="H36" s="6" t="inlineStr">
        <is>
          <t>Leroy Merlin</t>
        </is>
      </c>
      <c r="I36" s="7" t="n">
        <v>529.9</v>
      </c>
      <c r="J36" s="6" t="n"/>
    </row>
  </sheetData>
  <autoFilter ref="A4:J36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6" customWidth="1" min="4" max="4"/>
    <col width="16" customWidth="1" min="5" max="5"/>
    <col width="14" customWidth="1" min="6" max="6"/>
    <col width="25" customWidth="1" min="7" max="7"/>
  </cols>
  <sheetData>
    <row r="1">
      <c r="A1" s="1" t="inlineStr">
        <is>
          <t>COMPARATIVO DE PREÇOS POR PRODUTO</t>
        </is>
      </c>
    </row>
    <row r="3">
      <c r="A3" s="3" t="inlineStr">
        <is>
          <t>Produto</t>
        </is>
      </c>
      <c r="B3" s="3" t="inlineStr">
        <is>
          <t>Volume</t>
        </is>
      </c>
      <c r="C3" s="3" t="inlineStr">
        <is>
          <t>Menor Preço</t>
        </is>
      </c>
      <c r="D3" s="3" t="inlineStr">
        <is>
          <t>Maior Preço</t>
        </is>
      </c>
      <c r="E3" s="3" t="inlineStr">
        <is>
          <t>Preço Médio</t>
        </is>
      </c>
      <c r="F3" s="3" t="inlineStr">
        <is>
          <t>Variação (%)</t>
        </is>
      </c>
      <c r="G3" s="3" t="inlineStr">
        <is>
          <t>Melhor Loja</t>
        </is>
      </c>
    </row>
    <row r="4">
      <c r="A4" s="14" t="inlineStr">
        <is>
          <t>Suvinil Rende &amp; Cobre Muito Fosco</t>
        </is>
      </c>
      <c r="B4" s="14" t="inlineStr">
        <is>
          <t>18L</t>
        </is>
      </c>
      <c r="C4" s="15" t="n">
        <v>207.28</v>
      </c>
      <c r="D4" s="15" t="n">
        <v>339.07</v>
      </c>
      <c r="E4" s="15" t="n">
        <v>290.03</v>
      </c>
      <c r="F4" s="16" t="n">
        <v>0.6358066383635661</v>
      </c>
      <c r="G4" s="14" t="inlineStr">
        <is>
          <t>Mercado Livre (2)</t>
        </is>
      </c>
    </row>
    <row r="5">
      <c r="A5" s="14" t="inlineStr">
        <is>
          <t>Suvinil Rende &amp; Cobre Muito Fosco</t>
        </is>
      </c>
      <c r="B5" s="14" t="inlineStr">
        <is>
          <t>3.6L</t>
        </is>
      </c>
      <c r="C5" s="15" t="n">
        <v>79.90000000000001</v>
      </c>
      <c r="D5" s="15" t="n">
        <v>95</v>
      </c>
      <c r="E5" s="15" t="n">
        <v>88.26666666666667</v>
      </c>
      <c r="F5" s="16" t="n">
        <v>0.1889862327909886</v>
      </c>
      <c r="G5" s="14" t="inlineStr">
        <is>
          <t>Obramax</t>
        </is>
      </c>
    </row>
    <row r="6">
      <c r="A6" s="17" t="inlineStr">
        <is>
          <t>Suvinil Fosco Completo</t>
        </is>
      </c>
      <c r="B6" s="17" t="inlineStr">
        <is>
          <t>18L</t>
        </is>
      </c>
      <c r="C6" s="18" t="n">
        <v>358.8</v>
      </c>
      <c r="D6" s="18" t="n">
        <v>419.9</v>
      </c>
      <c r="E6" s="18" t="n">
        <v>391.9</v>
      </c>
      <c r="F6" s="19" t="n">
        <v>0.1702898550724637</v>
      </c>
      <c r="G6" s="17" t="inlineStr">
        <is>
          <t>Mercado Livre</t>
        </is>
      </c>
    </row>
    <row r="7">
      <c r="A7" s="17" t="inlineStr">
        <is>
          <t>Suvinil Fosco Completo</t>
        </is>
      </c>
      <c r="B7" s="17" t="inlineStr">
        <is>
          <t>3.6L</t>
        </is>
      </c>
      <c r="C7" s="18" t="n">
        <v>109.9</v>
      </c>
      <c r="D7" s="18" t="n">
        <v>115</v>
      </c>
      <c r="E7" s="18" t="n">
        <v>112.45</v>
      </c>
      <c r="F7" s="19" t="n">
        <v>0.04640582347588711</v>
      </c>
      <c r="G7" s="17" t="inlineStr">
        <is>
          <t>Telhanorte</t>
        </is>
      </c>
    </row>
    <row r="8">
      <c r="A8" s="20" t="inlineStr">
        <is>
          <t>Suvinil Toque Fosco Select</t>
        </is>
      </c>
      <c r="B8" s="20" t="inlineStr">
        <is>
          <t>18L</t>
        </is>
      </c>
      <c r="C8" s="21" t="n">
        <v>414.76</v>
      </c>
      <c r="D8" s="21" t="n">
        <v>759.73</v>
      </c>
      <c r="E8" s="21" t="n">
        <v>621.1633333333333</v>
      </c>
      <c r="F8" s="22" t="n">
        <v>0.8317340148519626</v>
      </c>
      <c r="G8" s="20" t="inlineStr">
        <is>
          <t>Mercado Livre (2)</t>
        </is>
      </c>
    </row>
    <row r="9">
      <c r="A9" s="23" t="inlineStr">
        <is>
          <t>Suvinil Esmalte Cor &amp; Proteção Base Água Acetinado</t>
        </is>
      </c>
      <c r="B9" s="23" t="inlineStr">
        <is>
          <t>3.6L</t>
        </is>
      </c>
      <c r="C9" s="24" t="n">
        <v>265.16</v>
      </c>
      <c r="D9" s="24" t="n">
        <v>289.9</v>
      </c>
      <c r="E9" s="24" t="n">
        <v>277.53</v>
      </c>
      <c r="F9" s="25" t="n">
        <v>0.09330215718811265</v>
      </c>
      <c r="G9" s="23" t="inlineStr">
        <is>
          <t>Arena Tintas</t>
        </is>
      </c>
    </row>
    <row r="10">
      <c r="A10" s="23" t="inlineStr">
        <is>
          <t>Suvinil Esmalte Cor &amp; Proteção Grafite Fosco</t>
        </is>
      </c>
      <c r="B10" s="23" t="inlineStr">
        <is>
          <t>3.6L</t>
        </is>
      </c>
      <c r="C10" s="24" t="n">
        <v>308.09</v>
      </c>
      <c r="D10" s="24" t="n">
        <v>308.09</v>
      </c>
      <c r="E10" s="24" t="n">
        <v>308.09</v>
      </c>
      <c r="F10" s="25" t="n">
        <v>0</v>
      </c>
      <c r="G10" s="23" t="inlineStr">
        <is>
          <t>Arena Tintas</t>
        </is>
      </c>
    </row>
    <row r="11">
      <c r="A11" s="23" t="inlineStr">
        <is>
          <t>Suvinil Epóxi</t>
        </is>
      </c>
      <c r="B11" s="23" t="inlineStr">
        <is>
          <t>3.6L</t>
        </is>
      </c>
      <c r="C11" s="24" t="n">
        <v>327.97</v>
      </c>
      <c r="D11" s="24" t="n">
        <v>349.9</v>
      </c>
      <c r="E11" s="24" t="n">
        <v>338.935</v>
      </c>
      <c r="F11" s="25" t="n">
        <v>0.06686587187852532</v>
      </c>
      <c r="G11" s="23" t="inlineStr">
        <is>
          <t>Arena Tintas</t>
        </is>
      </c>
    </row>
    <row r="12">
      <c r="A12" s="26" t="inlineStr">
        <is>
          <t>Suvinil Látex Maxx</t>
        </is>
      </c>
      <c r="B12" s="26" t="inlineStr">
        <is>
          <t>18L</t>
        </is>
      </c>
      <c r="C12" s="27" t="n">
        <v>169.9</v>
      </c>
      <c r="D12" s="27" t="n">
        <v>189.9</v>
      </c>
      <c r="E12" s="27" t="n">
        <v>179.9</v>
      </c>
      <c r="F12" s="28" t="n">
        <v>0.1177163037080636</v>
      </c>
      <c r="G12" s="26" t="inlineStr">
        <is>
          <t>Mercado Livre</t>
        </is>
      </c>
    </row>
    <row r="13">
      <c r="A13" s="26" t="inlineStr">
        <is>
          <t>Suvinil Látex Maxx</t>
        </is>
      </c>
      <c r="B13" s="26" t="inlineStr">
        <is>
          <t>3.6L</t>
        </is>
      </c>
      <c r="C13" s="27" t="n">
        <v>49.9</v>
      </c>
      <c r="D13" s="27" t="n">
        <v>49.9</v>
      </c>
      <c r="E13" s="27" t="n">
        <v>49.9</v>
      </c>
      <c r="F13" s="28" t="n">
        <v>0</v>
      </c>
      <c r="G13" s="26" t="inlineStr">
        <is>
          <t>Bela Tintas</t>
        </is>
      </c>
    </row>
    <row r="14">
      <c r="A14" s="14" t="inlineStr">
        <is>
          <t>Suvinil Piso Acrílica</t>
        </is>
      </c>
      <c r="B14" s="14" t="inlineStr">
        <is>
          <t>18L</t>
        </is>
      </c>
      <c r="C14" s="15" t="n">
        <v>329.9</v>
      </c>
      <c r="D14" s="15" t="n">
        <v>339.9</v>
      </c>
      <c r="E14" s="15" t="n">
        <v>334.9</v>
      </c>
      <c r="F14" s="16" t="n">
        <v>0.03031221582297666</v>
      </c>
      <c r="G14" s="14" t="inlineStr">
        <is>
          <t>Obramax</t>
        </is>
      </c>
    </row>
    <row r="15">
      <c r="A15" s="14" t="inlineStr">
        <is>
          <t>Suvinil Rende &amp; Cobre Muito Fosco (Obramax 20L)</t>
        </is>
      </c>
      <c r="B15" s="14" t="inlineStr">
        <is>
          <t>20L</t>
        </is>
      </c>
      <c r="C15" s="15" t="n">
        <v>329.9</v>
      </c>
      <c r="D15" s="15" t="n">
        <v>329.9</v>
      </c>
      <c r="E15" s="15" t="n">
        <v>329.9</v>
      </c>
      <c r="F15" s="16" t="n">
        <v>0</v>
      </c>
      <c r="G15" s="14" t="inlineStr">
        <is>
          <t>Obramax</t>
        </is>
      </c>
    </row>
    <row r="16">
      <c r="A16" s="17" t="inlineStr">
        <is>
          <t>Suvinil Toque Fosco Completo (Obramax 20L)</t>
        </is>
      </c>
      <c r="B16" s="17" t="inlineStr">
        <is>
          <t>20L</t>
        </is>
      </c>
      <c r="C16" s="18" t="n">
        <v>449.9</v>
      </c>
      <c r="D16" s="18" t="n">
        <v>449.9</v>
      </c>
      <c r="E16" s="18" t="n">
        <v>449.9</v>
      </c>
      <c r="F16" s="19" t="n">
        <v>0</v>
      </c>
      <c r="G16" s="17" t="inlineStr">
        <is>
          <t>Obramax</t>
        </is>
      </c>
    </row>
    <row r="17">
      <c r="A17" s="26" t="inlineStr">
        <is>
          <t>Suvinil Glasu Econômica (Obramax 20L)</t>
        </is>
      </c>
      <c r="B17" s="26" t="inlineStr">
        <is>
          <t>20L</t>
        </is>
      </c>
      <c r="C17" s="27" t="n">
        <v>199.9</v>
      </c>
      <c r="D17" s="27" t="n">
        <v>199.9</v>
      </c>
      <c r="E17" s="27" t="n">
        <v>199.9</v>
      </c>
      <c r="F17" s="28" t="n">
        <v>0</v>
      </c>
      <c r="G17" s="26" t="inlineStr">
        <is>
          <t>Obramax</t>
        </is>
      </c>
    </row>
    <row r="18">
      <c r="A18" s="17" t="inlineStr">
        <is>
          <t>Suvinil Inova Fosco Sempre Limpo</t>
        </is>
      </c>
      <c r="B18" s="17" t="inlineStr">
        <is>
          <t>18L</t>
        </is>
      </c>
      <c r="C18" s="18" t="n">
        <v>499</v>
      </c>
      <c r="D18" s="18" t="n">
        <v>529.9</v>
      </c>
      <c r="E18" s="18" t="n">
        <v>514.45</v>
      </c>
      <c r="F18" s="19" t="n">
        <v>0.06192384769539074</v>
      </c>
      <c r="G18" s="17" t="inlineStr">
        <is>
          <t>Arena Tintas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22" customWidth="1" min="3" max="3"/>
    <col width="32" customWidth="1" min="4" max="4"/>
    <col width="32" customWidth="1" min="5" max="5"/>
    <col width="28" customWidth="1" min="6" max="6"/>
  </cols>
  <sheetData>
    <row r="1">
      <c r="A1" s="1" t="inlineStr">
        <is>
          <t>TABELA DE REFERÊNCIA PARA DISTRIBUIDOR B2B</t>
        </is>
      </c>
    </row>
    <row r="2">
      <c r="A2" s="2" t="inlineStr">
        <is>
          <t>Estimativa de margens baseada em preços de varejo (referência de mercado)</t>
        </is>
      </c>
    </row>
    <row r="4">
      <c r="A4" s="3" t="inlineStr">
        <is>
          <t>Produto</t>
        </is>
      </c>
      <c r="B4" s="3" t="inlineStr">
        <is>
          <t>Volume</t>
        </is>
      </c>
      <c r="C4" s="3" t="inlineStr">
        <is>
          <t>Preço Médio Varejo</t>
        </is>
      </c>
      <c r="D4" s="3" t="inlineStr">
        <is>
          <t>Estimativa Preço Distribuidor (-25%)</t>
        </is>
      </c>
      <c r="E4" s="3" t="inlineStr">
        <is>
          <t>Estimativa Preço Fábrica (-40%)</t>
        </is>
      </c>
      <c r="F4" s="3" t="inlineStr">
        <is>
          <t>Margem Estimada Distribuidor</t>
        </is>
      </c>
    </row>
    <row r="5">
      <c r="A5" s="29" t="inlineStr">
        <is>
          <t>Suvinil Rende &amp; Cobre Muito Fosco</t>
        </is>
      </c>
      <c r="B5" s="29" t="inlineStr">
        <is>
          <t>18L</t>
        </is>
      </c>
      <c r="C5" s="30" t="n">
        <v>290.03</v>
      </c>
      <c r="D5" s="30">
        <f>C5*0.75</f>
        <v/>
      </c>
      <c r="E5" s="30">
        <f>C5*0.60</f>
        <v/>
      </c>
      <c r="F5" s="31">
        <f>(D5-E5)/D5</f>
        <v/>
      </c>
    </row>
    <row r="6">
      <c r="A6" s="29" t="inlineStr">
        <is>
          <t>Suvinil Rende &amp; Cobre Muito Fosco</t>
        </is>
      </c>
      <c r="B6" s="29" t="inlineStr">
        <is>
          <t>3.6L</t>
        </is>
      </c>
      <c r="C6" s="30" t="n">
        <v>88.26666666666667</v>
      </c>
      <c r="D6" s="30">
        <f>C6*0.75</f>
        <v/>
      </c>
      <c r="E6" s="30">
        <f>C6*0.60</f>
        <v/>
      </c>
      <c r="F6" s="31">
        <f>(D6-E6)/D6</f>
        <v/>
      </c>
    </row>
    <row r="7">
      <c r="A7" s="32" t="inlineStr">
        <is>
          <t>Suvinil Fosco Completo</t>
        </is>
      </c>
      <c r="B7" s="32" t="inlineStr">
        <is>
          <t>18L</t>
        </is>
      </c>
      <c r="C7" s="33" t="n">
        <v>391.9</v>
      </c>
      <c r="D7" s="33">
        <f>C7*0.75</f>
        <v/>
      </c>
      <c r="E7" s="33">
        <f>C7*0.60</f>
        <v/>
      </c>
      <c r="F7" s="34">
        <f>(D7-E7)/D7</f>
        <v/>
      </c>
    </row>
    <row r="8">
      <c r="A8" s="32" t="inlineStr">
        <is>
          <t>Suvinil Fosco Completo</t>
        </is>
      </c>
      <c r="B8" s="32" t="inlineStr">
        <is>
          <t>3.6L</t>
        </is>
      </c>
      <c r="C8" s="33" t="n">
        <v>112.45</v>
      </c>
      <c r="D8" s="33">
        <f>C8*0.75</f>
        <v/>
      </c>
      <c r="E8" s="33">
        <f>C8*0.60</f>
        <v/>
      </c>
      <c r="F8" s="34">
        <f>(D8-E8)/D8</f>
        <v/>
      </c>
    </row>
    <row r="9">
      <c r="A9" s="35" t="inlineStr">
        <is>
          <t>Suvinil Toque Fosco Select</t>
        </is>
      </c>
      <c r="B9" s="35" t="inlineStr">
        <is>
          <t>18L</t>
        </is>
      </c>
      <c r="C9" s="36" t="n">
        <v>621.1633333333333</v>
      </c>
      <c r="D9" s="36">
        <f>C9*0.75</f>
        <v/>
      </c>
      <c r="E9" s="36">
        <f>C9*0.60</f>
        <v/>
      </c>
      <c r="F9" s="37">
        <f>(D9-E9)/D9</f>
        <v/>
      </c>
    </row>
    <row r="10">
      <c r="A10" s="38" t="inlineStr">
        <is>
          <t>Suvinil Esmalte Cor &amp; Proteção Base Água Acetinado</t>
        </is>
      </c>
      <c r="B10" s="38" t="inlineStr">
        <is>
          <t>3.6L</t>
        </is>
      </c>
      <c r="C10" s="39" t="n">
        <v>277.53</v>
      </c>
      <c r="D10" s="39">
        <f>C10*0.75</f>
        <v/>
      </c>
      <c r="E10" s="39">
        <f>C10*0.60</f>
        <v/>
      </c>
      <c r="F10" s="40">
        <f>(D10-E10)/D10</f>
        <v/>
      </c>
    </row>
    <row r="11">
      <c r="A11" s="38" t="inlineStr">
        <is>
          <t>Suvinil Esmalte Cor &amp; Proteção Grafite Fosco</t>
        </is>
      </c>
      <c r="B11" s="38" t="inlineStr">
        <is>
          <t>3.6L</t>
        </is>
      </c>
      <c r="C11" s="39" t="n">
        <v>308.09</v>
      </c>
      <c r="D11" s="39">
        <f>C11*0.75</f>
        <v/>
      </c>
      <c r="E11" s="39">
        <f>C11*0.60</f>
        <v/>
      </c>
      <c r="F11" s="40">
        <f>(D11-E11)/D11</f>
        <v/>
      </c>
    </row>
    <row r="12">
      <c r="A12" s="38" t="inlineStr">
        <is>
          <t>Suvinil Epóxi</t>
        </is>
      </c>
      <c r="B12" s="38" t="inlineStr">
        <is>
          <t>3.6L</t>
        </is>
      </c>
      <c r="C12" s="39" t="n">
        <v>338.935</v>
      </c>
      <c r="D12" s="39">
        <f>C12*0.75</f>
        <v/>
      </c>
      <c r="E12" s="39">
        <f>C12*0.60</f>
        <v/>
      </c>
      <c r="F12" s="40">
        <f>(D12-E12)/D12</f>
        <v/>
      </c>
    </row>
    <row r="13">
      <c r="A13" s="41" t="inlineStr">
        <is>
          <t>Suvinil Látex Maxx</t>
        </is>
      </c>
      <c r="B13" s="41" t="inlineStr">
        <is>
          <t>18L</t>
        </is>
      </c>
      <c r="C13" s="42" t="n">
        <v>179.9</v>
      </c>
      <c r="D13" s="42">
        <f>C13*0.75</f>
        <v/>
      </c>
      <c r="E13" s="42">
        <f>C13*0.60</f>
        <v/>
      </c>
      <c r="F13" s="43">
        <f>(D13-E13)/D13</f>
        <v/>
      </c>
    </row>
    <row r="14">
      <c r="A14" s="41" t="inlineStr">
        <is>
          <t>Suvinil Látex Maxx</t>
        </is>
      </c>
      <c r="B14" s="41" t="inlineStr">
        <is>
          <t>3.6L</t>
        </is>
      </c>
      <c r="C14" s="42" t="n">
        <v>49.9</v>
      </c>
      <c r="D14" s="42">
        <f>C14*0.75</f>
        <v/>
      </c>
      <c r="E14" s="42">
        <f>C14*0.60</f>
        <v/>
      </c>
      <c r="F14" s="43">
        <f>(D14-E14)/D14</f>
        <v/>
      </c>
    </row>
    <row r="15">
      <c r="A15" s="29" t="inlineStr">
        <is>
          <t>Suvinil Piso Acrílica</t>
        </is>
      </c>
      <c r="B15" s="29" t="inlineStr">
        <is>
          <t>18L</t>
        </is>
      </c>
      <c r="C15" s="30" t="n">
        <v>334.9</v>
      </c>
      <c r="D15" s="30">
        <f>C15*0.75</f>
        <v/>
      </c>
      <c r="E15" s="30">
        <f>C15*0.60</f>
        <v/>
      </c>
      <c r="F15" s="31">
        <f>(D15-E15)/D15</f>
        <v/>
      </c>
    </row>
    <row r="16">
      <c r="A16" s="29" t="inlineStr">
        <is>
          <t>Suvinil Rende &amp; Cobre Muito Fosco (Obramax 20L)</t>
        </is>
      </c>
      <c r="B16" s="29" t="inlineStr">
        <is>
          <t>20L</t>
        </is>
      </c>
      <c r="C16" s="30" t="n">
        <v>329.9</v>
      </c>
      <c r="D16" s="30">
        <f>C16*0.75</f>
        <v/>
      </c>
      <c r="E16" s="30">
        <f>C16*0.60</f>
        <v/>
      </c>
      <c r="F16" s="31">
        <f>(D16-E16)/D16</f>
        <v/>
      </c>
    </row>
    <row r="17">
      <c r="A17" s="32" t="inlineStr">
        <is>
          <t>Suvinil Toque Fosco Completo (Obramax 20L)</t>
        </is>
      </c>
      <c r="B17" s="32" t="inlineStr">
        <is>
          <t>20L</t>
        </is>
      </c>
      <c r="C17" s="33" t="n">
        <v>449.9</v>
      </c>
      <c r="D17" s="33">
        <f>C17*0.75</f>
        <v/>
      </c>
      <c r="E17" s="33">
        <f>C17*0.60</f>
        <v/>
      </c>
      <c r="F17" s="34">
        <f>(D17-E17)/D17</f>
        <v/>
      </c>
    </row>
    <row r="18">
      <c r="A18" s="41" t="inlineStr">
        <is>
          <t>Suvinil Glasu Econômica (Obramax 20L)</t>
        </is>
      </c>
      <c r="B18" s="41" t="inlineStr">
        <is>
          <t>20L</t>
        </is>
      </c>
      <c r="C18" s="42" t="n">
        <v>199.9</v>
      </c>
      <c r="D18" s="42">
        <f>C18*0.75</f>
        <v/>
      </c>
      <c r="E18" s="42">
        <f>C18*0.60</f>
        <v/>
      </c>
      <c r="F18" s="43">
        <f>(D18-E18)/D18</f>
        <v/>
      </c>
    </row>
    <row r="19">
      <c r="A19" s="32" t="inlineStr">
        <is>
          <t>Suvinil Inova Fosco Sempre Limpo</t>
        </is>
      </c>
      <c r="B19" s="32" t="inlineStr">
        <is>
          <t>18L</t>
        </is>
      </c>
      <c r="C19" s="33" t="n">
        <v>514.45</v>
      </c>
      <c r="D19" s="33">
        <f>C19*0.75</f>
        <v/>
      </c>
      <c r="E19" s="33">
        <f>C19*0.60</f>
        <v/>
      </c>
      <c r="F19" s="34">
        <f>(D19-E19)/D19</f>
        <v/>
      </c>
    </row>
    <row r="22">
      <c r="A22" s="44" t="inlineStr">
        <is>
          <t>AVISO: Os preços estimados de distribuidor e fábrica são aproximações baseadas em margens típicas do setor.</t>
        </is>
      </c>
    </row>
    <row r="23">
      <c r="A23" s="44" t="inlineStr">
        <is>
          <t>Margens reais variam conforme volume, negociação e política comercial de cada fabricante.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5" customWidth="1" min="3" max="3"/>
  </cols>
  <sheetData>
    <row r="1">
      <c r="A1" s="45" t="inlineStr">
        <is>
          <t>FONTES DE PREÇOS CONSULTADAS</t>
        </is>
      </c>
    </row>
    <row r="3">
      <c r="A3" s="46" t="inlineStr">
        <is>
          <t>Fonte</t>
        </is>
      </c>
      <c r="B3" s="46" t="inlineStr">
        <is>
          <t>URL</t>
        </is>
      </c>
      <c r="C3" s="46" t="inlineStr">
        <is>
          <t>Tipo</t>
        </is>
      </c>
    </row>
    <row r="4">
      <c r="A4" s="47" t="inlineStr">
        <is>
          <t>Loja Suvinil (Oficial)</t>
        </is>
      </c>
      <c r="B4" s="47" t="inlineStr">
        <is>
          <t>https://loja.suvinil.com.br/</t>
        </is>
      </c>
      <c r="C4" s="47" t="inlineStr">
        <is>
          <t>E-commerce oficial</t>
        </is>
      </c>
    </row>
    <row r="5">
      <c r="A5" s="47" t="inlineStr">
        <is>
          <t>Arena Tintas</t>
        </is>
      </c>
      <c r="B5" s="47" t="inlineStr">
        <is>
          <t>https://arenatintas.com/suvinil</t>
        </is>
      </c>
      <c r="C5" s="47" t="inlineStr">
        <is>
          <t>Varejo online</t>
        </is>
      </c>
    </row>
    <row r="6">
      <c r="A6" s="47" t="inlineStr">
        <is>
          <t>Bela Tintas</t>
        </is>
      </c>
      <c r="B6" s="47" t="inlineStr">
        <is>
          <t>https://www.belatintas.com.br/suvinil</t>
        </is>
      </c>
      <c r="C6" s="47" t="inlineStr">
        <is>
          <t>Varejo online</t>
        </is>
      </c>
    </row>
    <row r="7">
      <c r="A7" s="47" t="inlineStr">
        <is>
          <t>Leroy Merlin</t>
        </is>
      </c>
      <c r="B7" s="47" t="inlineStr">
        <is>
          <t>https://www.leroymerlin.com.br/tintas/marca/Suvinil</t>
        </is>
      </c>
      <c r="C7" s="47" t="inlineStr">
        <is>
          <t>Home center</t>
        </is>
      </c>
    </row>
    <row r="8">
      <c r="A8" s="47" t="inlineStr">
        <is>
          <t>Telhanorte</t>
        </is>
      </c>
      <c r="B8" s="47" t="inlineStr">
        <is>
          <t>https://www.telhanorte.com.br/suvinil</t>
        </is>
      </c>
      <c r="C8" s="47" t="inlineStr">
        <is>
          <t>Home center</t>
        </is>
      </c>
    </row>
    <row r="9">
      <c r="A9" s="47" t="inlineStr">
        <is>
          <t>Mercado Livre</t>
        </is>
      </c>
      <c r="B9" s="47" t="inlineStr">
        <is>
          <t>https://lista.mercadolivre.com.br/tinta-suvinil-18-litros</t>
        </is>
      </c>
      <c r="C9" s="47" t="inlineStr">
        <is>
          <t>Marketplace</t>
        </is>
      </c>
    </row>
    <row r="10">
      <c r="A10" s="47" t="inlineStr">
        <is>
          <t>Varejão das Tintas</t>
        </is>
      </c>
      <c r="B10" s="47" t="inlineStr">
        <is>
          <t>https://loja.varejaodastintas.com.br/marca/suvinil.html</t>
        </is>
      </c>
      <c r="C10" s="47" t="inlineStr">
        <is>
          <t>Varejo online</t>
        </is>
      </c>
    </row>
    <row r="11">
      <c r="A11" s="47" t="inlineStr">
        <is>
          <t>Casa Costa Tintas</t>
        </is>
      </c>
      <c r="B11" s="47" t="inlineStr">
        <is>
          <t>https://www.casacostatintas.com.br/</t>
        </is>
      </c>
      <c r="C11" s="47" t="inlineStr">
        <is>
          <t>Varejo online</t>
        </is>
      </c>
    </row>
    <row r="12">
      <c r="A12" s="47" t="inlineStr">
        <is>
          <t>Hipertintas</t>
        </is>
      </c>
      <c r="B12" s="47" t="inlineStr">
        <is>
          <t>https://www.hipertintas.com.br/tintas/parede/suvinil/18</t>
        </is>
      </c>
      <c r="C12" s="47" t="inlineStr">
        <is>
          <t>Varejo online</t>
        </is>
      </c>
    </row>
    <row r="13">
      <c r="A13" s="47" t="inlineStr">
        <is>
          <t>Buscapé</t>
        </is>
      </c>
      <c r="B13" s="47" t="inlineStr">
        <is>
          <t>https://www.buscape.com.br/busca/tinta+suvinil+18+litros</t>
        </is>
      </c>
      <c r="C13" s="47" t="inlineStr">
        <is>
          <t>Comparador de preços</t>
        </is>
      </c>
    </row>
    <row r="14">
      <c r="A14" s="47" t="inlineStr">
        <is>
          <t>Obramax</t>
        </is>
      </c>
      <c r="B14" s="47" t="inlineStr">
        <is>
          <t>https://www.obramax.com.br/suvinil</t>
        </is>
      </c>
      <c r="C14" s="47" t="inlineStr">
        <is>
          <t>Home center atacado/varejo</t>
        </is>
      </c>
    </row>
    <row r="15">
      <c r="A15" s="47" t="inlineStr">
        <is>
          <t>Cofema Atacadista</t>
        </is>
      </c>
      <c r="B15" s="47" t="inlineStr">
        <is>
          <t>https://www.cofema.com.br/</t>
        </is>
      </c>
      <c r="C15" s="47" t="inlineStr">
        <is>
          <t>Atacadista materiais construção</t>
        </is>
      </c>
    </row>
    <row r="16">
      <c r="A16" s="47" t="inlineStr">
        <is>
          <t>Eletroleste</t>
        </is>
      </c>
      <c r="B16" s="47" t="inlineStr">
        <is>
          <t>https://www.eletroleste.com.br/</t>
        </is>
      </c>
      <c r="C16" s="47" t="inlineStr">
        <is>
          <t>Atacadista materiais construção</t>
        </is>
      </c>
    </row>
    <row r="17">
      <c r="A17" s="47" t="inlineStr">
        <is>
          <t>Smarfer</t>
        </is>
      </c>
      <c r="B17" s="47" t="inlineStr">
        <is>
          <t>N/D (fonte do cliente)</t>
        </is>
      </c>
      <c r="C17" s="47" t="inlineStr">
        <is>
          <t>Distribuidora (a confirmar)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2026-03-20T19:26:23Z</dcterms:created>
  <dcterms:modified xsi:type="dcterms:W3CDTF">2026-03-20T19:26:23Z</dcterms:modified>
</cp:coreProperties>
</file>